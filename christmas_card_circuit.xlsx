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ntacts" sheetId="1" state="visible" r:id="rId3"/>
    <sheet name="Annual Budget" sheetId="2" state="visible" r:id="rId4"/>
    <sheet name="Inventory" sheetId="3" state="visible" r:id="rId5"/>
    <sheet name="Spending History" sheetId="4" state="visible" r:id="rId6"/>
    <sheet name="Dashboard" sheetId="5" state="visible" r:id="rId7"/>
    <sheet name="Addresses Neede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<sst xmlns="http://schemas.openxmlformats.org/spreadsheetml/2006/main" count="468" uniqueCount="257">
  <si>
    <t xml:space="preserve">Household Name</t>
  </si>
  <si>
    <t xml:space="preserve">Individual Names</t>
  </si>
  <si>
    <t xml:space="preserve">Relationship</t>
  </si>
  <si>
    <t xml:space="preserve">Relationship Tier</t>
  </si>
  <si>
    <t xml:space="preserve">Address Line 1</t>
  </si>
  <si>
    <t xml:space="preserve">Address Line 2</t>
  </si>
  <si>
    <t xml:space="preserve">City</t>
  </si>
  <si>
    <t xml:space="preserve">State</t>
  </si>
  <si>
    <t xml:space="preserve">ZIP</t>
  </si>
  <si>
    <t xml:space="preserve">Country</t>
  </si>
  <si>
    <t xml:space="preserve">Address Status</t>
  </si>
  <si>
    <t xml:space="preserve">Primary Phone</t>
  </si>
  <si>
    <t xml:space="preserve">Secondary Phone</t>
  </si>
  <si>
    <t xml:space="preserve">Primary Email</t>
  </si>
  <si>
    <t xml:space="preserve">Secondary Email</t>
  </si>
  <si>
    <t xml:space="preserve">Instagram</t>
  </si>
  <si>
    <t xml:space="preserve">Facebook</t>
  </si>
  <si>
    <t xml:space="preserve">LinkedIn</t>
  </si>
  <si>
    <t xml:space="preserve">Twitter/X</t>
  </si>
  <si>
    <t xml:space="preserve">Other Social</t>
  </si>
  <si>
    <t xml:space="preserve">Preferred Contact</t>
  </si>
  <si>
    <t xml:space="preserve">Year Added</t>
  </si>
  <si>
    <t xml:space="preserve">Card Type Pref</t>
  </si>
  <si>
    <t xml:space="preserve">2024 Sent</t>
  </si>
  <si>
    <t xml:space="preserve">2024 Response</t>
  </si>
  <si>
    <t xml:space="preserve">Gift Exchange?</t>
  </si>
  <si>
    <t xml:space="preserve">Gift Occasion</t>
  </si>
  <si>
    <t xml:space="preserve">Gift Budget Tier</t>
  </si>
  <si>
    <t xml:space="preserve">2024 Gift Given</t>
  </si>
  <si>
    <t xml:space="preserve">2024 Gift Value</t>
  </si>
  <si>
    <t xml:space="preserve">2024 Gift Received</t>
  </si>
  <si>
    <t xml:space="preserve">2024 Gift Recv Value</t>
  </si>
  <si>
    <t xml:space="preserve">Gift Notes</t>
  </si>
  <si>
    <t xml:space="preserve">Birthdays</t>
  </si>
  <si>
    <t xml:space="preserve">Anniversary</t>
  </si>
  <si>
    <t xml:space="preserve">Kids/Pets</t>
  </si>
  <si>
    <t xml:space="preserve">Notes</t>
  </si>
  <si>
    <t xml:space="preserve">Last Contact Date</t>
  </si>
  <si>
    <t xml:space="preserve">Annual Touchpoints Target</t>
  </si>
  <si>
    <t xml:space="preserve">2024 Touchpoints</t>
  </si>
  <si>
    <t xml:space="preserve">Reciprocity</t>
  </si>
  <si>
    <t xml:space="preserve">Relationship Trend</t>
  </si>
  <si>
    <t xml:space="preserve">Mom &amp; Dad</t>
  </si>
  <si>
    <t xml:space="preserve">Mom, Dad</t>
  </si>
  <si>
    <t xml:space="preserve">Family</t>
  </si>
  <si>
    <t xml:space="preserve">Inner Circle</t>
  </si>
  <si>
    <t xml:space="preserve">27 Tanglewood Dr</t>
  </si>
  <si>
    <t xml:space="preserve">Attleboro</t>
  </si>
  <si>
    <t xml:space="preserve">MA</t>
  </si>
  <si>
    <t xml:space="preserve">USA</t>
  </si>
  <si>
    <t xml:space="preserve">Verified</t>
  </si>
  <si>
    <t xml:space="preserve">Trini &amp; Dylan</t>
  </si>
  <si>
    <t xml:space="preserve">Trini, Dylan</t>
  </si>
  <si>
    <t xml:space="preserve">10 Donato Dr</t>
  </si>
  <si>
    <t xml:space="preserve">Franklin</t>
  </si>
  <si>
    <t xml:space="preserve">Needs Confirmation</t>
  </si>
  <si>
    <t xml:space="preserve">Elliot</t>
  </si>
  <si>
    <t xml:space="preserve">Cassie &amp; Brent &amp; Theo</t>
  </si>
  <si>
    <t xml:space="preserve">Cassie, Brent, Theo</t>
  </si>
  <si>
    <t xml:space="preserve">Emma</t>
  </si>
  <si>
    <t xml:space="preserve">Aunt Pam &amp; Uncle John</t>
  </si>
  <si>
    <t xml:space="preserve">Pam, John</t>
  </si>
  <si>
    <t xml:space="preserve">Close</t>
  </si>
  <si>
    <t xml:space="preserve">14 Wildcat Ln</t>
  </si>
  <si>
    <t xml:space="preserve">Plymouth</t>
  </si>
  <si>
    <t xml:space="preserve">Aunt Sandy &amp; Uncle Howie</t>
  </si>
  <si>
    <t xml:space="preserve">Sandy, Howie</t>
  </si>
  <si>
    <t xml:space="preserve">Needs Lookup</t>
  </si>
  <si>
    <t xml:space="preserve">Aunt Jan &amp; Uncle Bud</t>
  </si>
  <si>
    <t xml:space="preserve">Jan, Bud</t>
  </si>
  <si>
    <t xml:space="preserve">Fran</t>
  </si>
  <si>
    <t xml:space="preserve">Kyle &amp; Jeannette</t>
  </si>
  <si>
    <t xml:space="preserve">Kyle, Jeannette</t>
  </si>
  <si>
    <t xml:space="preserve">Carol</t>
  </si>
  <si>
    <t xml:space="preserve">Lauren &amp; Rob</t>
  </si>
  <si>
    <t xml:space="preserve">Lauren, Rob</t>
  </si>
  <si>
    <t xml:space="preserve">260 Cliff Dr</t>
  </si>
  <si>
    <t xml:space="preserve">North Attleboro</t>
  </si>
  <si>
    <t xml:space="preserve">Mel</t>
  </si>
  <si>
    <t xml:space="preserve">Dan &amp; Chelsea</t>
  </si>
  <si>
    <t xml:space="preserve">Dan, Chelsea</t>
  </si>
  <si>
    <t xml:space="preserve">Friend</t>
  </si>
  <si>
    <t xml:space="preserve">251 Old River Rd</t>
  </si>
  <si>
    <t xml:space="preserve">Lincoln</t>
  </si>
  <si>
    <t xml:space="preserve">RI</t>
  </si>
  <si>
    <t xml:space="preserve">Brian &amp; Carly</t>
  </si>
  <si>
    <t xml:space="preserve">Brian, Carly</t>
  </si>
  <si>
    <t xml:space="preserve">Derek &amp; Christine</t>
  </si>
  <si>
    <t xml:space="preserve">Derek, Christine</t>
  </si>
  <si>
    <t xml:space="preserve">14 Lindy Ave</t>
  </si>
  <si>
    <t xml:space="preserve">Riverside</t>
  </si>
  <si>
    <t xml:space="preserve">Norm &amp; Judy</t>
  </si>
  <si>
    <t xml:space="preserve">Norm, Judy</t>
  </si>
  <si>
    <t xml:space="preserve">14 Josiah Way</t>
  </si>
  <si>
    <t xml:space="preserve">Craig &amp; Helaina</t>
  </si>
  <si>
    <t xml:space="preserve">Craig, Helaina</t>
  </si>
  <si>
    <t xml:space="preserve">Kevin P.</t>
  </si>
  <si>
    <t xml:space="preserve">Casual</t>
  </si>
  <si>
    <t xml:space="preserve">Dave P.</t>
  </si>
  <si>
    <t xml:space="preserve">Professional</t>
  </si>
  <si>
    <t xml:space="preserve">521 Mount Hope St</t>
  </si>
  <si>
    <t xml:space="preserve">Suite 300</t>
  </si>
  <si>
    <t xml:space="preserve">Jake Eid</t>
  </si>
  <si>
    <t xml:space="preserve">Nico &amp; Sarah</t>
  </si>
  <si>
    <t xml:space="preserve">Nico, Sarah</t>
  </si>
  <si>
    <t xml:space="preserve">Tim &amp; Lindsay</t>
  </si>
  <si>
    <t xml:space="preserve">Tim, Lindsay</t>
  </si>
  <si>
    <t xml:space="preserve">Tucker &amp; Haley</t>
  </si>
  <si>
    <t xml:space="preserve">Tucker, Haley</t>
  </si>
  <si>
    <t xml:space="preserve">4208 San Rocco Ct</t>
  </si>
  <si>
    <t xml:space="preserve">North Las Vegas</t>
  </si>
  <si>
    <t xml:space="preserve">NV</t>
  </si>
  <si>
    <t xml:space="preserve">Kyle &amp; Lily</t>
  </si>
  <si>
    <t xml:space="preserve">Kyle, Lily</t>
  </si>
  <si>
    <t xml:space="preserve">2472 Aelbourne Dr</t>
  </si>
  <si>
    <t xml:space="preserve">San Diego</t>
  </si>
  <si>
    <t xml:space="preserve">CA</t>
  </si>
  <si>
    <t xml:space="preserve">Meru</t>
  </si>
  <si>
    <t xml:space="preserve">Melissa H</t>
  </si>
  <si>
    <t xml:space="preserve">Robert</t>
  </si>
  <si>
    <t xml:space="preserve">Apt 204</t>
  </si>
  <si>
    <t xml:space="preserve">Kevin &amp; Danielle</t>
  </si>
  <si>
    <t xml:space="preserve">Kevin, Danielle</t>
  </si>
  <si>
    <t xml:space="preserve">Joel &amp; Kathryn</t>
  </si>
  <si>
    <t xml:space="preserve">Joel, Kathryn</t>
  </si>
  <si>
    <t xml:space="preserve">Apt 205</t>
  </si>
  <si>
    <t xml:space="preserve">Michele (Avila)</t>
  </si>
  <si>
    <t xml:space="preserve">Michele</t>
  </si>
  <si>
    <t xml:space="preserve">Avila</t>
  </si>
  <si>
    <t xml:space="preserve">Monica &amp; Shell (Avila)</t>
  </si>
  <si>
    <t xml:space="preserve">Monica, Shell</t>
  </si>
  <si>
    <t xml:space="preserve">Lina (Avila)</t>
  </si>
  <si>
    <t xml:space="preserve">Lina</t>
  </si>
  <si>
    <t xml:space="preserve">Angad &amp; Lauren</t>
  </si>
  <si>
    <t xml:space="preserve">Angad, Lauren</t>
  </si>
  <si>
    <t xml:space="preserve">522 Tamarind Way</t>
  </si>
  <si>
    <t xml:space="preserve">Unit D</t>
  </si>
  <si>
    <t xml:space="preserve">West Covina</t>
  </si>
  <si>
    <t xml:space="preserve">Grachel</t>
  </si>
  <si>
    <t xml:space="preserve">Katie</t>
  </si>
  <si>
    <t xml:space="preserve">5442 E Ebell St</t>
  </si>
  <si>
    <t xml:space="preserve">Long Beach</t>
  </si>
  <si>
    <t xml:space="preserve">Guy &amp; Cynthia</t>
  </si>
  <si>
    <t xml:space="preserve">Guy, Cynthia</t>
  </si>
  <si>
    <t xml:space="preserve">243 Islington Rd</t>
  </si>
  <si>
    <t xml:space="preserve">Auburndale</t>
  </si>
  <si>
    <t xml:space="preserve">Mel Fish</t>
  </si>
  <si>
    <t xml:space="preserve">Dan &amp; Viktoria</t>
  </si>
  <si>
    <t xml:space="preserve">Dan, Viktoria</t>
  </si>
  <si>
    <t xml:space="preserve">INCOME &amp; ALLOCATION</t>
  </si>
  <si>
    <t xml:space="preserve">Annual Gross Salary</t>
  </si>
  <si>
    <t xml:space="preserve">Relationship Budget %</t>
  </si>
  <si>
    <t xml:space="preserve">5%</t>
  </si>
  <si>
    <t xml:space="preserve">Total Relationship Budget</t>
  </si>
  <si>
    <t xml:space="preserve">CARD SENDING COSTS</t>
  </si>
  <si>
    <t xml:space="preserve">Cards to Send (qty)</t>
  </si>
  <si>
    <t xml:space="preserve">Photo Cards (cost each)</t>
  </si>
  <si>
    <t xml:space="preserve">Standard Cards (cost each)</t>
  </si>
  <si>
    <t xml:space="preserve">Photo Card Qty</t>
  </si>
  <si>
    <t xml:space="preserve">Standard Card Qty</t>
  </si>
  <si>
    <t xml:space="preserve">Stamps (Forever @ $0.73)</t>
  </si>
  <si>
    <t xml:space="preserve">Return Address Labels (roll)</t>
  </si>
  <si>
    <t xml:space="preserve">Total Card Costs</t>
  </si>
  <si>
    <t xml:space="preserve">GIFT BUDGET BY TIER</t>
  </si>
  <si>
    <t xml:space="preserve">Tier A ($100+) - Qty</t>
  </si>
  <si>
    <t xml:space="preserve">Tier A - Budget Each</t>
  </si>
  <si>
    <t xml:space="preserve">Tier A - Subtotal</t>
  </si>
  <si>
    <t xml:space="preserve">Tier B ($50-100) - Qty</t>
  </si>
  <si>
    <t xml:space="preserve">Tier B - Budget Each</t>
  </si>
  <si>
    <t xml:space="preserve">Tier B - Subtotal</t>
  </si>
  <si>
    <t xml:space="preserve">Tier C ($25-50) - Qty</t>
  </si>
  <si>
    <t xml:space="preserve">Tier C - Budget Each</t>
  </si>
  <si>
    <t xml:space="preserve">Tier C - Subtotal</t>
  </si>
  <si>
    <t xml:space="preserve">Tier D (&lt;$25) - Qty</t>
  </si>
  <si>
    <t xml:space="preserve">Tier D - Budget Each</t>
  </si>
  <si>
    <t xml:space="preserve">Tier D - Subtotal</t>
  </si>
  <si>
    <t xml:space="preserve">Total Gift Budget</t>
  </si>
  <si>
    <t xml:space="preserve">OTHER RELATIONSHIP COSTS</t>
  </si>
  <si>
    <t xml:space="preserve">Hosting/Entertaining</t>
  </si>
  <si>
    <t xml:space="preserve">Travel for Relationships</t>
  </si>
  <si>
    <t xml:space="preserve">Spontaneous Generosity Buffer</t>
  </si>
  <si>
    <t xml:space="preserve">Total Other</t>
  </si>
  <si>
    <t xml:space="preserve">SUMMARY</t>
  </si>
  <si>
    <t xml:space="preserve">Total Planned Spend</t>
  </si>
  <si>
    <t xml:space="preserve">Budget Remaining</t>
  </si>
  <si>
    <t xml:space="preserve">Budget Utilization %</t>
  </si>
  <si>
    <t xml:space="preserve">Item</t>
  </si>
  <si>
    <t xml:space="preserve">Category</t>
  </si>
  <si>
    <t xml:space="preserve">Qty On Hand</t>
  </si>
  <si>
    <t xml:space="preserve">Reorder Point</t>
  </si>
  <si>
    <t xml:space="preserve">Unit Cost</t>
  </si>
  <si>
    <t xml:space="preserve">Total Value</t>
  </si>
  <si>
    <t xml:space="preserve">Supplier</t>
  </si>
  <si>
    <t xml:space="preserve">Last Ordered</t>
  </si>
  <si>
    <t xml:space="preserve">Photo Cards (pack of 25)</t>
  </si>
  <si>
    <t xml:space="preserve">Cards</t>
  </si>
  <si>
    <t xml:space="preserve">Shutterfly</t>
  </si>
  <si>
    <t xml:space="preserve">Order by Nov 15</t>
  </si>
  <si>
    <t xml:space="preserve">Standard Cards (box of 20)</t>
  </si>
  <si>
    <t xml:space="preserve">Target</t>
  </si>
  <si>
    <t xml:space="preserve">Forever Stamps (book of 20)</t>
  </si>
  <si>
    <t xml:space="preserve">Postage</t>
  </si>
  <si>
    <t xml:space="preserve">USPS</t>
  </si>
  <si>
    <t xml:space="preserve">Price may increase</t>
  </si>
  <si>
    <t xml:space="preserve">Labels</t>
  </si>
  <si>
    <t xml:space="preserve">Brother</t>
  </si>
  <si>
    <t xml:space="preserve">DK-2205 continuous</t>
  </si>
  <si>
    <t xml:space="preserve">Address Labels 2.4" B/R</t>
  </si>
  <si>
    <t xml:space="preserve">For QL-820NWB</t>
  </si>
  <si>
    <t xml:space="preserve">Gift Wrap - Roll</t>
  </si>
  <si>
    <t xml:space="preserve">Wrapping</t>
  </si>
  <si>
    <t xml:space="preserve">Gift Bags - Small</t>
  </si>
  <si>
    <t xml:space="preserve">Dollar Tree</t>
  </si>
  <si>
    <t xml:space="preserve">Gift Bags - Medium</t>
  </si>
  <si>
    <t xml:space="preserve">Gift Bags - Large</t>
  </si>
  <si>
    <t xml:space="preserve">Tissue Paper (pack)</t>
  </si>
  <si>
    <t xml:space="preserve">Ribbon (spool)</t>
  </si>
  <si>
    <t xml:space="preserve">Michaels</t>
  </si>
  <si>
    <t xml:space="preserve">Gift Tags (pack of 50)</t>
  </si>
  <si>
    <t xml:space="preserve">Amazon</t>
  </si>
  <si>
    <t xml:space="preserve">Thank You Cards (box)</t>
  </si>
  <si>
    <t xml:space="preserve">For post-holiday</t>
  </si>
  <si>
    <t xml:space="preserve">Envelopes (A7)</t>
  </si>
  <si>
    <t xml:space="preserve">For photo cards</t>
  </si>
  <si>
    <t xml:space="preserve">Total Inventory Value:</t>
  </si>
  <si>
    <t xml:space="preserve">Year</t>
  </si>
  <si>
    <t xml:space="preserve">Cards Sent</t>
  </si>
  <si>
    <t xml:space="preserve">Card Cost</t>
  </si>
  <si>
    <t xml:space="preserve">Gifts Given</t>
  </si>
  <si>
    <t xml:space="preserve">Gift Spend</t>
  </si>
  <si>
    <t xml:space="preserve">Gifts Received</t>
  </si>
  <si>
    <t xml:space="preserve">Est Value Received</t>
  </si>
  <si>
    <t xml:space="preserve">Net Flow</t>
  </si>
  <si>
    <t xml:space="preserve">Total Spend</t>
  </si>
  <si>
    <t xml:space="preserve">🎄 CHRISTMAS CARD CIRCUIT DASHBOARD</t>
  </si>
  <si>
    <t xml:space="preserve">CONTACT METRICS</t>
  </si>
  <si>
    <t xml:space="preserve">Total Contacts</t>
  </si>
  <si>
    <t xml:space="preserve">people</t>
  </si>
  <si>
    <t xml:space="preserve">Addresses Verified</t>
  </si>
  <si>
    <t xml:space="preserve">ready to print</t>
  </si>
  <si>
    <t xml:space="preserve">Addresses Needing Lookup</t>
  </si>
  <si>
    <t xml:space="preserve">⚠️ action needed</t>
  </si>
  <si>
    <t xml:space="preserve">Addresses Needing Confirmation</t>
  </si>
  <si>
    <t xml:space="preserve">to verify</t>
  </si>
  <si>
    <t xml:space="preserve">RELATIONSHIP BREAKDOWN</t>
  </si>
  <si>
    <t xml:space="preserve">Friends</t>
  </si>
  <si>
    <t xml:space="preserve">2024 CARD STATUS</t>
  </si>
  <si>
    <t xml:space="preserve">Cards Remaining</t>
  </si>
  <si>
    <t xml:space="preserve">Response Rate</t>
  </si>
  <si>
    <t xml:space="preserve">BUDGET STATUS</t>
  </si>
  <si>
    <t xml:space="preserve">Total Budget</t>
  </si>
  <si>
    <t xml:space="preserve">Planned Spend</t>
  </si>
  <si>
    <t xml:space="preserve">INVENTORY ALERTS</t>
  </si>
  <si>
    <t xml:space="preserve">Total Inventory Value</t>
  </si>
  <si>
    <t xml:space="preserve">Current Address Info</t>
  </si>
  <si>
    <t xml:space="preserve">Status</t>
  </si>
  <si>
    <t xml:space="preserve">Filter Contacts tab by Address Status = 'Needs Lookup'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</si>
</sst>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\$#,##0.00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C41E3A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C62828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28B22"/>
        <bgColor rgb="FF339966"/>
      </patternFill>
    </fill>
    <fill>
      <patternFill patternType="solid">
        <fgColor rgb="FFFFF9C4"/>
        <bgColor rgb="FFFFF8E1"/>
      </patternFill>
    </fill>
    <fill>
      <patternFill patternType="solid">
        <fgColor rgb="FFFFCDD2"/>
        <bgColor rgb="FFCCCCCC"/>
      </patternFill>
    </fill>
    <fill>
      <patternFill patternType="solid">
        <fgColor rgb="FFFFF8E1"/>
        <bgColor rgb="FFFFF9C4"/>
      </patternFill>
    </fill>
    <fill>
      <patternFill patternType="solid">
        <fgColor rgb="FFC41E3A"/>
        <bgColor rgb="FFC6282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CCCCCC"/>
      <rgbColor rgb="FF808080"/>
      <rgbColor rgb="FF9999FF"/>
      <rgbColor rgb="FFC41E3A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E1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10" min="9" style="0" width="10"/>
    <col collapsed="false" customWidth="true" hidden="false" outlineLevel="0" max="13" min="11" style="0" width="14"/>
    <col collapsed="false" customWidth="true" hidden="false" outlineLevel="0" max="15" min="14" style="0" width="24"/>
    <col collapsed="false" customWidth="true" hidden="false" outlineLevel="0" max="21" min="16" style="0" width="14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4" min="24" style="0" width="10"/>
    <col collapsed="false" customWidth="true" hidden="false" outlineLevel="0" max="25" min="25" style="0" width="14"/>
    <col collapsed="false" customWidth="true" hidden="false" outlineLevel="0" max="27" min="26" style="0" width="12"/>
    <col collapsed="false" customWidth="true" hidden="false" outlineLevel="0" max="28" min="28" style="0" width="14"/>
    <col collapsed="false" customWidth="true" hidden="false" outlineLevel="0" max="29" min="29" style="0" width="18"/>
    <col collapsed="false" customWidth="true" hidden="false" outlineLevel="0" max="30" min="30" style="0" width="12"/>
    <col collapsed="false" customWidth="true" hidden="false" outlineLevel="0" max="31" min="31" style="0" width="18"/>
    <col collapsed="false" customWidth="true" hidden="false" outlineLevel="0" max="32" min="32" style="0" width="12"/>
    <col collapsed="false" customWidth="true" hidden="false" outlineLevel="0" max="33" min="33" style="0" width="20"/>
    <col collapsed="false" customWidth="true" hidden="false" outlineLevel="0" max="34" min="34" style="0" width="14"/>
    <col collapsed="false" customWidth="true" hidden="false" outlineLevel="0" max="35" min="35" style="0" width="12"/>
    <col collapsed="false" customWidth="true" hidden="false" outlineLevel="0" max="36" min="36" style="0" width="16"/>
    <col collapsed="false" customWidth="true" hidden="false" outlineLevel="0" max="37" min="37" style="0" width="24"/>
    <col collapsed="false" customWidth="true" hidden="false" outlineLevel="0" max="38" min="38" style="0" width="14"/>
    <col collapsed="false" customWidth="true" hidden="false" outlineLevel="0" max="39" min="39" style="0" width="12"/>
    <col collapsed="false" customWidth="true" hidden="false" outlineLevel="0" max="40" min="40" style="0" width="14"/>
    <col collapsed="false" customWidth="true" hidden="false" outlineLevel="0" max="41" min="41" style="0" width="12"/>
    <col collapsed="false" customWidth="true" hidden="false" outlineLevel="0" max="42" min="42" style="0" width="1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customFormat="false" ht="15" hidden="false" customHeight="false" outlineLevel="0" collapsed="false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/>
      <c r="G2" s="2" t="s">
        <v>47</v>
      </c>
      <c r="H2" s="2" t="s">
        <v>48</v>
      </c>
      <c r="I2" s="2"/>
      <c r="J2" s="2" t="s">
        <v>49</v>
      </c>
      <c r="K2" s="2" t="s">
        <v>50</v>
      </c>
      <c r="V2" s="3" t="n">
        <v>2024</v>
      </c>
    </row>
    <row r="3" customFormat="false" ht="15" hidden="false" customHeight="false" outlineLevel="0" collapsed="false">
      <c r="A3" s="2" t="s">
        <v>51</v>
      </c>
      <c r="B3" s="2" t="s">
        <v>52</v>
      </c>
      <c r="C3" s="2" t="s">
        <v>44</v>
      </c>
      <c r="D3" s="2" t="s">
        <v>45</v>
      </c>
      <c r="E3" s="2" t="s">
        <v>53</v>
      </c>
      <c r="F3" s="2"/>
      <c r="G3" s="2" t="s">
        <v>54</v>
      </c>
      <c r="H3" s="2" t="s">
        <v>48</v>
      </c>
      <c r="I3" s="2"/>
      <c r="J3" s="2" t="s">
        <v>49</v>
      </c>
      <c r="K3" s="4" t="s">
        <v>55</v>
      </c>
      <c r="V3" s="3" t="n">
        <v>2024</v>
      </c>
    </row>
    <row r="4" customFormat="false" ht="15" hidden="false" customHeight="false" outlineLevel="0" collapsed="false">
      <c r="A4" s="2" t="s">
        <v>56</v>
      </c>
      <c r="B4" s="2" t="s">
        <v>56</v>
      </c>
      <c r="C4" s="2" t="s">
        <v>44</v>
      </c>
      <c r="D4" s="2" t="s">
        <v>45</v>
      </c>
      <c r="E4" s="2" t="s">
        <v>53</v>
      </c>
      <c r="F4" s="2"/>
      <c r="G4" s="2" t="s">
        <v>54</v>
      </c>
      <c r="H4" s="2" t="s">
        <v>48</v>
      </c>
      <c r="I4" s="2"/>
      <c r="J4" s="2" t="s">
        <v>49</v>
      </c>
      <c r="K4" s="4" t="s">
        <v>55</v>
      </c>
      <c r="V4" s="3" t="n">
        <v>2024</v>
      </c>
    </row>
    <row r="5" customFormat="false" ht="15" hidden="false" customHeight="false" outlineLevel="0" collapsed="false">
      <c r="A5" s="2" t="s">
        <v>57</v>
      </c>
      <c r="B5" s="2" t="s">
        <v>58</v>
      </c>
      <c r="C5" s="2" t="s">
        <v>44</v>
      </c>
      <c r="D5" s="2" t="s">
        <v>45</v>
      </c>
      <c r="E5" s="2" t="s">
        <v>53</v>
      </c>
      <c r="F5" s="2"/>
      <c r="G5" s="2" t="s">
        <v>54</v>
      </c>
      <c r="H5" s="2" t="s">
        <v>48</v>
      </c>
      <c r="I5" s="2"/>
      <c r="J5" s="2" t="s">
        <v>49</v>
      </c>
      <c r="K5" s="4" t="s">
        <v>55</v>
      </c>
      <c r="V5" s="3" t="n">
        <v>2024</v>
      </c>
    </row>
    <row r="6" customFormat="false" ht="15" hidden="false" customHeight="false" outlineLevel="0" collapsed="false">
      <c r="A6" s="2" t="s">
        <v>59</v>
      </c>
      <c r="B6" s="2" t="s">
        <v>59</v>
      </c>
      <c r="C6" s="2" t="s">
        <v>44</v>
      </c>
      <c r="D6" s="2" t="s">
        <v>45</v>
      </c>
      <c r="E6" s="2" t="s">
        <v>53</v>
      </c>
      <c r="F6" s="2"/>
      <c r="G6" s="2" t="s">
        <v>54</v>
      </c>
      <c r="H6" s="2" t="s">
        <v>48</v>
      </c>
      <c r="I6" s="2"/>
      <c r="J6" s="2" t="s">
        <v>49</v>
      </c>
      <c r="K6" s="4" t="s">
        <v>55</v>
      </c>
      <c r="V6" s="3" t="n">
        <v>2024</v>
      </c>
    </row>
    <row r="7" customFormat="false" ht="15" hidden="false" customHeight="false" outlineLevel="0" collapsed="false">
      <c r="A7" s="2" t="s">
        <v>60</v>
      </c>
      <c r="B7" s="2" t="s">
        <v>61</v>
      </c>
      <c r="C7" s="2" t="s">
        <v>44</v>
      </c>
      <c r="D7" s="2" t="s">
        <v>62</v>
      </c>
      <c r="E7" s="2" t="s">
        <v>63</v>
      </c>
      <c r="F7" s="2"/>
      <c r="G7" s="2" t="s">
        <v>64</v>
      </c>
      <c r="H7" s="2" t="s">
        <v>48</v>
      </c>
      <c r="I7" s="2"/>
      <c r="J7" s="2" t="s">
        <v>49</v>
      </c>
      <c r="K7" s="2" t="s">
        <v>50</v>
      </c>
      <c r="V7" s="3" t="n">
        <v>2024</v>
      </c>
    </row>
    <row r="8" customFormat="false" ht="15" hidden="false" customHeight="false" outlineLevel="0" collapsed="false">
      <c r="A8" s="2" t="s">
        <v>65</v>
      </c>
      <c r="B8" s="2" t="s">
        <v>66</v>
      </c>
      <c r="C8" s="2" t="s">
        <v>44</v>
      </c>
      <c r="D8" s="2" t="s">
        <v>62</v>
      </c>
      <c r="E8" s="2"/>
      <c r="F8" s="2"/>
      <c r="G8" s="2"/>
      <c r="H8" s="2" t="s">
        <v>48</v>
      </c>
      <c r="I8" s="2"/>
      <c r="J8" s="2" t="s">
        <v>49</v>
      </c>
      <c r="K8" s="5" t="s">
        <v>67</v>
      </c>
      <c r="V8" s="3" t="n">
        <v>2024</v>
      </c>
    </row>
    <row r="9" customFormat="false" ht="15" hidden="false" customHeight="false" outlineLevel="0" collapsed="false">
      <c r="A9" s="2" t="s">
        <v>68</v>
      </c>
      <c r="B9" s="2" t="s">
        <v>69</v>
      </c>
      <c r="C9" s="2" t="s">
        <v>44</v>
      </c>
      <c r="D9" s="2" t="s">
        <v>62</v>
      </c>
      <c r="E9" s="2"/>
      <c r="F9" s="2"/>
      <c r="G9" s="2"/>
      <c r="H9" s="2" t="s">
        <v>48</v>
      </c>
      <c r="I9" s="2"/>
      <c r="J9" s="2" t="s">
        <v>49</v>
      </c>
      <c r="K9" s="5" t="s">
        <v>67</v>
      </c>
      <c r="V9" s="3" t="n">
        <v>2024</v>
      </c>
    </row>
    <row r="10" customFormat="false" ht="15" hidden="false" customHeight="false" outlineLevel="0" collapsed="false">
      <c r="A10" s="2" t="s">
        <v>70</v>
      </c>
      <c r="B10" s="2" t="s">
        <v>70</v>
      </c>
      <c r="C10" s="2" t="s">
        <v>44</v>
      </c>
      <c r="D10" s="2" t="s">
        <v>62</v>
      </c>
      <c r="E10" s="2"/>
      <c r="F10" s="2"/>
      <c r="G10" s="2"/>
      <c r="H10" s="2"/>
      <c r="I10" s="2"/>
      <c r="J10" s="2" t="s">
        <v>49</v>
      </c>
      <c r="K10" s="5" t="s">
        <v>67</v>
      </c>
      <c r="V10" s="3" t="n">
        <v>2024</v>
      </c>
    </row>
    <row r="11" customFormat="false" ht="15" hidden="false" customHeight="false" outlineLevel="0" collapsed="false">
      <c r="A11" s="2" t="s">
        <v>71</v>
      </c>
      <c r="B11" s="2" t="s">
        <v>72</v>
      </c>
      <c r="C11" s="2" t="s">
        <v>44</v>
      </c>
      <c r="D11" s="2" t="s">
        <v>62</v>
      </c>
      <c r="E11" s="2"/>
      <c r="F11" s="2"/>
      <c r="G11" s="2"/>
      <c r="H11" s="2"/>
      <c r="I11" s="2"/>
      <c r="J11" s="2" t="s">
        <v>49</v>
      </c>
      <c r="K11" s="5" t="s">
        <v>67</v>
      </c>
      <c r="V11" s="3" t="n">
        <v>2024</v>
      </c>
    </row>
    <row r="12" customFormat="false" ht="15" hidden="false" customHeight="false" outlineLevel="0" collapsed="false">
      <c r="A12" s="2" t="s">
        <v>73</v>
      </c>
      <c r="B12" s="2" t="s">
        <v>73</v>
      </c>
      <c r="C12" s="2" t="s">
        <v>44</v>
      </c>
      <c r="D12" s="2" t="s">
        <v>62</v>
      </c>
      <c r="E12" s="2"/>
      <c r="F12" s="2"/>
      <c r="G12" s="2"/>
      <c r="H12" s="2"/>
      <c r="I12" s="2"/>
      <c r="J12" s="2" t="s">
        <v>49</v>
      </c>
      <c r="K12" s="5" t="s">
        <v>67</v>
      </c>
      <c r="V12" s="3" t="n">
        <v>2024</v>
      </c>
    </row>
    <row r="13" customFormat="false" ht="15" hidden="false" customHeight="false" outlineLevel="0" collapsed="false">
      <c r="A13" s="2" t="s">
        <v>74</v>
      </c>
      <c r="B13" s="2" t="s">
        <v>75</v>
      </c>
      <c r="C13" s="2" t="s">
        <v>44</v>
      </c>
      <c r="D13" s="2" t="s">
        <v>62</v>
      </c>
      <c r="E13" s="2" t="s">
        <v>76</v>
      </c>
      <c r="F13" s="2"/>
      <c r="G13" s="2" t="s">
        <v>77</v>
      </c>
      <c r="H13" s="2" t="s">
        <v>48</v>
      </c>
      <c r="I13" s="2"/>
      <c r="J13" s="2" t="s">
        <v>49</v>
      </c>
      <c r="K13" s="2" t="s">
        <v>50</v>
      </c>
      <c r="V13" s="3" t="n">
        <v>2024</v>
      </c>
    </row>
    <row r="14" customFormat="false" ht="15" hidden="false" customHeight="false" outlineLevel="0" collapsed="false">
      <c r="A14" s="2" t="s">
        <v>78</v>
      </c>
      <c r="B14" s="2" t="s">
        <v>78</v>
      </c>
      <c r="C14" s="2" t="s">
        <v>44</v>
      </c>
      <c r="D14" s="2" t="s">
        <v>62</v>
      </c>
      <c r="E14" s="2"/>
      <c r="F14" s="2"/>
      <c r="G14" s="2"/>
      <c r="H14" s="2"/>
      <c r="I14" s="2"/>
      <c r="J14" s="2" t="s">
        <v>49</v>
      </c>
      <c r="K14" s="5" t="s">
        <v>67</v>
      </c>
      <c r="V14" s="3" t="n">
        <v>2024</v>
      </c>
    </row>
    <row r="15" customFormat="false" ht="15" hidden="false" customHeight="false" outlineLevel="0" collapsed="false">
      <c r="A15" s="2" t="s">
        <v>79</v>
      </c>
      <c r="B15" s="2" t="s">
        <v>80</v>
      </c>
      <c r="C15" s="2" t="s">
        <v>81</v>
      </c>
      <c r="D15" s="2" t="s">
        <v>62</v>
      </c>
      <c r="E15" s="2" t="s">
        <v>82</v>
      </c>
      <c r="F15" s="2"/>
      <c r="G15" s="2" t="s">
        <v>83</v>
      </c>
      <c r="H15" s="2" t="s">
        <v>84</v>
      </c>
      <c r="I15" s="2"/>
      <c r="J15" s="2" t="s">
        <v>49</v>
      </c>
      <c r="K15" s="2" t="s">
        <v>50</v>
      </c>
      <c r="V15" s="3" t="n">
        <v>2024</v>
      </c>
    </row>
    <row r="16" customFormat="false" ht="15" hidden="false" customHeight="false" outlineLevel="0" collapsed="false">
      <c r="A16" s="2" t="s">
        <v>85</v>
      </c>
      <c r="B16" s="2" t="s">
        <v>86</v>
      </c>
      <c r="C16" s="2" t="s">
        <v>81</v>
      </c>
      <c r="D16" s="2" t="s">
        <v>62</v>
      </c>
      <c r="E16" s="2"/>
      <c r="F16" s="2"/>
      <c r="G16" s="2"/>
      <c r="H16" s="2"/>
      <c r="I16" s="2"/>
      <c r="J16" s="2" t="s">
        <v>49</v>
      </c>
      <c r="K16" s="5" t="s">
        <v>67</v>
      </c>
      <c r="V16" s="3" t="n">
        <v>2024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81</v>
      </c>
      <c r="D17" s="2" t="s">
        <v>62</v>
      </c>
      <c r="E17" s="2" t="s">
        <v>89</v>
      </c>
      <c r="F17" s="2"/>
      <c r="G17" s="2" t="s">
        <v>90</v>
      </c>
      <c r="H17" s="2" t="s">
        <v>84</v>
      </c>
      <c r="I17" s="2"/>
      <c r="J17" s="2" t="s">
        <v>49</v>
      </c>
      <c r="K17" s="2" t="s">
        <v>50</v>
      </c>
      <c r="V17" s="3" t="n">
        <v>2024</v>
      </c>
    </row>
    <row r="18" customFormat="false" ht="15" hidden="false" customHeight="false" outlineLevel="0" collapsed="false">
      <c r="A18" s="2" t="s">
        <v>91</v>
      </c>
      <c r="B18" s="2" t="s">
        <v>92</v>
      </c>
      <c r="C18" s="2" t="s">
        <v>81</v>
      </c>
      <c r="D18" s="2" t="s">
        <v>62</v>
      </c>
      <c r="E18" s="2" t="s">
        <v>93</v>
      </c>
      <c r="F18" s="2"/>
      <c r="G18" s="2"/>
      <c r="H18" s="2"/>
      <c r="I18" s="2"/>
      <c r="J18" s="2" t="s">
        <v>49</v>
      </c>
      <c r="K18" s="4" t="s">
        <v>55</v>
      </c>
      <c r="V18" s="3" t="n">
        <v>2024</v>
      </c>
    </row>
    <row r="19" customFormat="false" ht="15" hidden="false" customHeight="false" outlineLevel="0" collapsed="false">
      <c r="A19" s="2" t="s">
        <v>94</v>
      </c>
      <c r="B19" s="2" t="s">
        <v>95</v>
      </c>
      <c r="C19" s="2" t="s">
        <v>81</v>
      </c>
      <c r="D19" s="2" t="s">
        <v>62</v>
      </c>
      <c r="E19" s="2"/>
      <c r="F19" s="2"/>
      <c r="G19" s="2"/>
      <c r="H19" s="2"/>
      <c r="I19" s="2"/>
      <c r="J19" s="2" t="s">
        <v>49</v>
      </c>
      <c r="K19" s="5" t="s">
        <v>67</v>
      </c>
      <c r="V19" s="3" t="n">
        <v>2024</v>
      </c>
    </row>
    <row r="20" customFormat="false" ht="15" hidden="false" customHeight="false" outlineLevel="0" collapsed="false">
      <c r="A20" s="2" t="s">
        <v>96</v>
      </c>
      <c r="B20" s="2" t="s">
        <v>96</v>
      </c>
      <c r="C20" s="2" t="s">
        <v>81</v>
      </c>
      <c r="D20" s="2" t="s">
        <v>97</v>
      </c>
      <c r="E20" s="2"/>
      <c r="F20" s="2"/>
      <c r="G20" s="2"/>
      <c r="H20" s="2"/>
      <c r="I20" s="2"/>
      <c r="J20" s="2" t="s">
        <v>49</v>
      </c>
      <c r="K20" s="5" t="s">
        <v>67</v>
      </c>
      <c r="V20" s="3" t="n">
        <v>2024</v>
      </c>
    </row>
    <row r="21" customFormat="false" ht="15" hidden="false" customHeight="false" outlineLevel="0" collapsed="false">
      <c r="A21" s="2" t="s">
        <v>98</v>
      </c>
      <c r="B21" s="2" t="s">
        <v>98</v>
      </c>
      <c r="C21" s="2" t="s">
        <v>99</v>
      </c>
      <c r="D21" s="2" t="s">
        <v>97</v>
      </c>
      <c r="E21" s="2" t="s">
        <v>100</v>
      </c>
      <c r="F21" s="2" t="s">
        <v>101</v>
      </c>
      <c r="G21" s="2"/>
      <c r="H21" s="2" t="s">
        <v>48</v>
      </c>
      <c r="I21" s="2"/>
      <c r="J21" s="2" t="s">
        <v>49</v>
      </c>
      <c r="K21" s="4" t="s">
        <v>55</v>
      </c>
      <c r="V21" s="3" t="n">
        <v>2024</v>
      </c>
    </row>
    <row r="22" customFormat="false" ht="15" hidden="false" customHeight="false" outlineLevel="0" collapsed="false">
      <c r="A22" s="2" t="s">
        <v>102</v>
      </c>
      <c r="B22" s="2" t="s">
        <v>102</v>
      </c>
      <c r="C22" s="2" t="s">
        <v>81</v>
      </c>
      <c r="D22" s="2" t="s">
        <v>62</v>
      </c>
      <c r="E22" s="2"/>
      <c r="F22" s="2"/>
      <c r="G22" s="2"/>
      <c r="H22" s="2"/>
      <c r="I22" s="2"/>
      <c r="J22" s="2" t="s">
        <v>49</v>
      </c>
      <c r="K22" s="5" t="s">
        <v>67</v>
      </c>
      <c r="V22" s="3" t="n">
        <v>2024</v>
      </c>
    </row>
    <row r="23" customFormat="false" ht="15" hidden="false" customHeight="false" outlineLevel="0" collapsed="false">
      <c r="A23" s="2" t="s">
        <v>103</v>
      </c>
      <c r="B23" s="2" t="s">
        <v>104</v>
      </c>
      <c r="C23" s="2" t="s">
        <v>81</v>
      </c>
      <c r="D23" s="2" t="s">
        <v>62</v>
      </c>
      <c r="E23" s="2"/>
      <c r="F23" s="2"/>
      <c r="G23" s="2"/>
      <c r="H23" s="2"/>
      <c r="I23" s="2"/>
      <c r="J23" s="2" t="s">
        <v>49</v>
      </c>
      <c r="K23" s="5" t="s">
        <v>67</v>
      </c>
      <c r="V23" s="3" t="n">
        <v>2024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81</v>
      </c>
      <c r="D24" s="2" t="s">
        <v>62</v>
      </c>
      <c r="E24" s="2"/>
      <c r="F24" s="2"/>
      <c r="G24" s="2"/>
      <c r="H24" s="2"/>
      <c r="I24" s="2"/>
      <c r="J24" s="2" t="s">
        <v>49</v>
      </c>
      <c r="K24" s="5" t="s">
        <v>67</v>
      </c>
      <c r="V24" s="3" t="n">
        <v>2024</v>
      </c>
    </row>
    <row r="25" customFormat="false" ht="15" hidden="false" customHeight="false" outlineLevel="0" collapsed="false">
      <c r="A25" s="2" t="s">
        <v>107</v>
      </c>
      <c r="B25" s="2" t="s">
        <v>108</v>
      </c>
      <c r="C25" s="2" t="s">
        <v>81</v>
      </c>
      <c r="D25" s="2" t="s">
        <v>62</v>
      </c>
      <c r="E25" s="2" t="s">
        <v>109</v>
      </c>
      <c r="F25" s="2"/>
      <c r="G25" s="2" t="s">
        <v>110</v>
      </c>
      <c r="H25" s="2" t="s">
        <v>111</v>
      </c>
      <c r="I25" s="2"/>
      <c r="J25" s="2" t="s">
        <v>49</v>
      </c>
      <c r="K25" s="2" t="s">
        <v>50</v>
      </c>
      <c r="V25" s="3" t="n">
        <v>2024</v>
      </c>
    </row>
    <row r="26" customFormat="false" ht="15" hidden="false" customHeight="false" outlineLevel="0" collapsed="false">
      <c r="A26" s="2" t="s">
        <v>112</v>
      </c>
      <c r="B26" s="2" t="s">
        <v>113</v>
      </c>
      <c r="C26" s="2" t="s">
        <v>81</v>
      </c>
      <c r="D26" s="2" t="s">
        <v>62</v>
      </c>
      <c r="E26" s="2" t="s">
        <v>114</v>
      </c>
      <c r="F26" s="2"/>
      <c r="G26" s="2" t="s">
        <v>115</v>
      </c>
      <c r="H26" s="2" t="s">
        <v>116</v>
      </c>
      <c r="I26" s="2"/>
      <c r="J26" s="2" t="s">
        <v>49</v>
      </c>
      <c r="K26" s="2" t="s">
        <v>50</v>
      </c>
      <c r="V26" s="3" t="n">
        <v>2024</v>
      </c>
    </row>
    <row r="27" customFormat="false" ht="15" hidden="false" customHeight="false" outlineLevel="0" collapsed="false">
      <c r="A27" s="2" t="s">
        <v>117</v>
      </c>
      <c r="B27" s="2" t="s">
        <v>117</v>
      </c>
      <c r="C27" s="2" t="s">
        <v>81</v>
      </c>
      <c r="D27" s="2" t="s">
        <v>97</v>
      </c>
      <c r="E27" s="2"/>
      <c r="F27" s="2"/>
      <c r="G27" s="2"/>
      <c r="H27" s="2"/>
      <c r="I27" s="2"/>
      <c r="J27" s="2" t="s">
        <v>49</v>
      </c>
      <c r="K27" s="5" t="s">
        <v>67</v>
      </c>
      <c r="V27" s="3" t="n">
        <v>2024</v>
      </c>
    </row>
    <row r="28" customFormat="false" ht="15" hidden="false" customHeight="false" outlineLevel="0" collapsed="false">
      <c r="A28" s="2" t="s">
        <v>118</v>
      </c>
      <c r="B28" s="2" t="s">
        <v>118</v>
      </c>
      <c r="C28" s="2" t="s">
        <v>81</v>
      </c>
      <c r="D28" s="2" t="s">
        <v>97</v>
      </c>
      <c r="E28" s="2"/>
      <c r="F28" s="2"/>
      <c r="G28" s="2"/>
      <c r="H28" s="2"/>
      <c r="I28" s="2"/>
      <c r="J28" s="2" t="s">
        <v>49</v>
      </c>
      <c r="K28" s="5" t="s">
        <v>67</v>
      </c>
      <c r="V28" s="3" t="n">
        <v>2024</v>
      </c>
    </row>
    <row r="29" customFormat="false" ht="15" hidden="false" customHeight="false" outlineLevel="0" collapsed="false">
      <c r="A29" s="2" t="s">
        <v>119</v>
      </c>
      <c r="B29" s="2" t="s">
        <v>119</v>
      </c>
      <c r="C29" s="2" t="s">
        <v>81</v>
      </c>
      <c r="D29" s="2" t="s">
        <v>97</v>
      </c>
      <c r="E29" s="2"/>
      <c r="F29" s="2" t="s">
        <v>120</v>
      </c>
      <c r="G29" s="2"/>
      <c r="H29" s="2"/>
      <c r="I29" s="2"/>
      <c r="J29" s="2" t="s">
        <v>49</v>
      </c>
      <c r="K29" s="5" t="s">
        <v>67</v>
      </c>
      <c r="V29" s="3" t="n">
        <v>2024</v>
      </c>
    </row>
    <row r="30" customFormat="false" ht="15" hidden="false" customHeight="false" outlineLevel="0" collapsed="false">
      <c r="A30" s="2" t="s">
        <v>121</v>
      </c>
      <c r="B30" s="2" t="s">
        <v>122</v>
      </c>
      <c r="C30" s="2" t="s">
        <v>81</v>
      </c>
      <c r="D30" s="2" t="s">
        <v>62</v>
      </c>
      <c r="E30" s="2"/>
      <c r="F30" s="2"/>
      <c r="G30" s="2"/>
      <c r="H30" s="2"/>
      <c r="I30" s="2"/>
      <c r="J30" s="2" t="s">
        <v>49</v>
      </c>
      <c r="K30" s="5" t="s">
        <v>67</v>
      </c>
      <c r="V30" s="3" t="n">
        <v>2024</v>
      </c>
    </row>
    <row r="31" customFormat="false" ht="15" hidden="false" customHeight="false" outlineLevel="0" collapsed="false">
      <c r="A31" s="2" t="s">
        <v>123</v>
      </c>
      <c r="B31" s="2" t="s">
        <v>124</v>
      </c>
      <c r="C31" s="2" t="s">
        <v>81</v>
      </c>
      <c r="D31" s="2" t="s">
        <v>62</v>
      </c>
      <c r="E31" s="2"/>
      <c r="F31" s="2" t="s">
        <v>125</v>
      </c>
      <c r="G31" s="2"/>
      <c r="H31" s="2"/>
      <c r="I31" s="2"/>
      <c r="J31" s="2" t="s">
        <v>49</v>
      </c>
      <c r="K31" s="5" t="s">
        <v>67</v>
      </c>
      <c r="V31" s="3" t="n">
        <v>2024</v>
      </c>
    </row>
    <row r="32" customFormat="false" ht="15" hidden="false" customHeight="false" outlineLevel="0" collapsed="false">
      <c r="A32" s="2" t="s">
        <v>126</v>
      </c>
      <c r="B32" s="2" t="s">
        <v>127</v>
      </c>
      <c r="C32" s="2" t="s">
        <v>81</v>
      </c>
      <c r="D32" s="2" t="s">
        <v>62</v>
      </c>
      <c r="E32" s="2" t="s">
        <v>128</v>
      </c>
      <c r="F32" s="2"/>
      <c r="G32" s="2"/>
      <c r="H32" s="2"/>
      <c r="I32" s="2"/>
      <c r="J32" s="2" t="s">
        <v>49</v>
      </c>
      <c r="K32" s="5" t="s">
        <v>67</v>
      </c>
      <c r="V32" s="3" t="n">
        <v>2024</v>
      </c>
    </row>
    <row r="33" customFormat="false" ht="15" hidden="false" customHeight="false" outlineLevel="0" collapsed="false">
      <c r="A33" s="2" t="s">
        <v>129</v>
      </c>
      <c r="B33" s="2" t="s">
        <v>130</v>
      </c>
      <c r="C33" s="2" t="s">
        <v>81</v>
      </c>
      <c r="D33" s="2" t="s">
        <v>62</v>
      </c>
      <c r="E33" s="2" t="s">
        <v>128</v>
      </c>
      <c r="F33" s="2"/>
      <c r="G33" s="2"/>
      <c r="H33" s="2"/>
      <c r="I33" s="2"/>
      <c r="J33" s="2" t="s">
        <v>49</v>
      </c>
      <c r="K33" s="5" t="s">
        <v>67</v>
      </c>
      <c r="V33" s="3" t="n">
        <v>2024</v>
      </c>
    </row>
    <row r="34" customFormat="false" ht="15" hidden="false" customHeight="false" outlineLevel="0" collapsed="false">
      <c r="A34" s="2" t="s">
        <v>131</v>
      </c>
      <c r="B34" s="2" t="s">
        <v>132</v>
      </c>
      <c r="C34" s="2" t="s">
        <v>81</v>
      </c>
      <c r="D34" s="2" t="s">
        <v>62</v>
      </c>
      <c r="E34" s="2" t="s">
        <v>128</v>
      </c>
      <c r="F34" s="2"/>
      <c r="G34" s="2"/>
      <c r="H34" s="2"/>
      <c r="I34" s="2"/>
      <c r="J34" s="2" t="s">
        <v>49</v>
      </c>
      <c r="K34" s="5" t="s">
        <v>67</v>
      </c>
      <c r="V34" s="3" t="n">
        <v>2024</v>
      </c>
    </row>
    <row r="35" customFormat="false" ht="15" hidden="false" customHeight="false" outlineLevel="0" collapsed="false">
      <c r="A35" s="2" t="s">
        <v>133</v>
      </c>
      <c r="B35" s="2" t="s">
        <v>134</v>
      </c>
      <c r="C35" s="2" t="s">
        <v>81</v>
      </c>
      <c r="D35" s="2" t="s">
        <v>62</v>
      </c>
      <c r="E35" s="2" t="s">
        <v>135</v>
      </c>
      <c r="F35" s="2" t="s">
        <v>136</v>
      </c>
      <c r="G35" s="2" t="s">
        <v>137</v>
      </c>
      <c r="H35" s="2" t="s">
        <v>116</v>
      </c>
      <c r="I35" s="2"/>
      <c r="J35" s="2" t="s">
        <v>49</v>
      </c>
      <c r="K35" s="2" t="s">
        <v>50</v>
      </c>
      <c r="V35" s="3" t="n">
        <v>2024</v>
      </c>
    </row>
    <row r="36" customFormat="false" ht="15" hidden="false" customHeight="false" outlineLevel="0" collapsed="false">
      <c r="A36" s="2" t="s">
        <v>138</v>
      </c>
      <c r="B36" s="2" t="s">
        <v>138</v>
      </c>
      <c r="C36" s="2" t="s">
        <v>81</v>
      </c>
      <c r="D36" s="2" t="s">
        <v>97</v>
      </c>
      <c r="E36" s="2"/>
      <c r="F36" s="2"/>
      <c r="G36" s="2"/>
      <c r="H36" s="2"/>
      <c r="I36" s="2"/>
      <c r="J36" s="2" t="s">
        <v>49</v>
      </c>
      <c r="K36" s="5" t="s">
        <v>67</v>
      </c>
      <c r="V36" s="3" t="n">
        <v>2024</v>
      </c>
    </row>
    <row r="37" customFormat="false" ht="15" hidden="false" customHeight="false" outlineLevel="0" collapsed="false">
      <c r="A37" s="2" t="s">
        <v>139</v>
      </c>
      <c r="B37" s="2" t="s">
        <v>139</v>
      </c>
      <c r="C37" s="2" t="s">
        <v>81</v>
      </c>
      <c r="D37" s="2" t="s">
        <v>62</v>
      </c>
      <c r="E37" s="2" t="s">
        <v>140</v>
      </c>
      <c r="F37" s="2"/>
      <c r="G37" s="2" t="s">
        <v>141</v>
      </c>
      <c r="H37" s="2" t="s">
        <v>116</v>
      </c>
      <c r="I37" s="2"/>
      <c r="J37" s="2" t="s">
        <v>49</v>
      </c>
      <c r="K37" s="2" t="s">
        <v>50</v>
      </c>
      <c r="V37" s="3" t="n">
        <v>2024</v>
      </c>
    </row>
    <row r="38" customFormat="false" ht="15" hidden="false" customHeight="false" outlineLevel="0" collapsed="false">
      <c r="A38" s="2" t="s">
        <v>142</v>
      </c>
      <c r="B38" s="2" t="s">
        <v>143</v>
      </c>
      <c r="C38" s="2" t="s">
        <v>81</v>
      </c>
      <c r="D38" s="2" t="s">
        <v>62</v>
      </c>
      <c r="E38" s="2" t="s">
        <v>144</v>
      </c>
      <c r="F38" s="2"/>
      <c r="G38" s="2" t="s">
        <v>145</v>
      </c>
      <c r="H38" s="2" t="s">
        <v>48</v>
      </c>
      <c r="I38" s="2"/>
      <c r="J38" s="2" t="s">
        <v>49</v>
      </c>
      <c r="K38" s="2" t="s">
        <v>50</v>
      </c>
      <c r="V38" s="3" t="n">
        <v>2024</v>
      </c>
    </row>
    <row r="39" customFormat="false" ht="15" hidden="false" customHeight="false" outlineLevel="0" collapsed="false">
      <c r="A39" s="2" t="s">
        <v>146</v>
      </c>
      <c r="B39" s="2" t="s">
        <v>146</v>
      </c>
      <c r="C39" s="2" t="s">
        <v>81</v>
      </c>
      <c r="D39" s="2" t="s">
        <v>97</v>
      </c>
      <c r="E39" s="2"/>
      <c r="F39" s="2"/>
      <c r="G39" s="2"/>
      <c r="H39" s="2"/>
      <c r="I39" s="2"/>
      <c r="J39" s="2" t="s">
        <v>49</v>
      </c>
      <c r="K39" s="5" t="s">
        <v>67</v>
      </c>
      <c r="V39" s="3" t="n">
        <v>2024</v>
      </c>
    </row>
    <row r="40" customFormat="false" ht="15" hidden="false" customHeight="false" outlineLevel="0" collapsed="false">
      <c r="A40" s="2" t="s">
        <v>147</v>
      </c>
      <c r="B40" s="2" t="s">
        <v>148</v>
      </c>
      <c r="C40" s="2" t="s">
        <v>81</v>
      </c>
      <c r="D40" s="2" t="s">
        <v>62</v>
      </c>
      <c r="E40" s="2"/>
      <c r="F40" s="2"/>
      <c r="G40" s="2"/>
      <c r="H40" s="2"/>
      <c r="I40" s="2"/>
      <c r="J40" s="2" t="s">
        <v>49</v>
      </c>
      <c r="K40" s="5" t="s">
        <v>67</v>
      </c>
      <c r="V40" s="3" t="n">
        <v>2024</v>
      </c>
    </row>
  </sheetData>
  <dataValidations count="11">
    <dataValidation allowBlank="false" errorStyle="stop" operator="between" showDropDown="false" showErrorMessage="false" showInputMessage="false" sqref="C2:C200" type="list">
      <formula1>"Family,Friend,Colleague,Neighbor,Mentor,Professional,Other"</formula1>
      <formula2>0</formula2>
    </dataValidation>
    <dataValidation allowBlank="false" errorStyle="stop" operator="between" showDropDown="false" showErrorMessage="false" showInputMessage="false" sqref="D2:D200" type="list">
      <formula1>"Inner Circle,Close,Casual,Professional"</formula1>
      <formula2>0</formula2>
    </dataValidation>
    <dataValidation allowBlank="false" errorStyle="stop" operator="between" showDropDown="false" showErrorMessage="false" showInputMessage="false" sqref="K2:K200" type="list">
      <formula1>"Verified,Needs Lookup,Needs Confirmation,Bad Address"</formula1>
      <formula2>0</formula2>
    </dataValidation>
    <dataValidation allowBlank="false" errorStyle="stop" operator="between" showDropDown="false" showErrorMessage="false" showInputMessage="false" sqref="V2:V200" type="list">
      <formula1>"Text,Call,Email,Social DM,Mail"</formula1>
      <formula2>0</formula2>
    </dataValidation>
    <dataValidation allowBlank="false" errorStyle="stop" operator="between" showDropDown="false" showErrorMessage="false" showInputMessage="false" sqref="W2:W200" type="list">
      <formula1>"Photo Card,Standard,Handwritten,E-Card"</formula1>
      <formula2>0</formula2>
    </dataValidation>
    <dataValidation allowBlank="false" errorStyle="stop" operator="between" showDropDown="false" showErrorMessage="false" showInputMessage="false" sqref="Y2:Y200" type="list">
      <formula1>"Received Card,No Response,Returned/Bad Address"</formula1>
      <formula2>0</formula2>
    </dataValidation>
    <dataValidation allowBlank="false" errorStyle="stop" operator="between" showDropDown="false" showErrorMessage="false" showInputMessage="false" sqref="Z2:Z200" type="list">
      <formula1>"Yes,No"</formula1>
      <formula2>0</formula2>
    </dataValidation>
    <dataValidation allowBlank="false" errorStyle="stop" operator="between" showDropDown="false" showErrorMessage="false" showInputMessage="false" sqref="AA2:AA200" type="list">
      <formula1>"Christmas,Birthday,Both,None"</formula1>
      <formula2>0</formula2>
    </dataValidation>
    <dataValidation allowBlank="false" errorStyle="stop" operator="between" showDropDown="false" showErrorMessage="false" showInputMessage="false" sqref="AB2:AB200" type="list">
      <formula1>"A ($100+),B ($50-100),C ($25-50),D (&lt;$25)"</formula1>
      <formula2>0</formula2>
    </dataValidation>
    <dataValidation allowBlank="false" errorStyle="stop" operator="between" showDropDown="false" showErrorMessage="false" showInputMessage="false" sqref="AO2:AO200" type="list">
      <formula1>"High,Medium,Low"</formula1>
      <formula2>0</formula2>
    </dataValidation>
    <dataValidation allowBlank="false" errorStyle="stop" operator="between" showDropDown="false" showErrorMessage="false" showInputMessage="false" sqref="AP2:AP200" type="list">
      <formula1>"Growing,Stable,Fading"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2" customFormat="false" ht="15" hidden="false" customHeight="false" outlineLevel="0" collapsed="false">
      <c r="A2" s="6" t="s">
        <v>149</v>
      </c>
      <c r="B2" s="6"/>
    </row>
    <row r="3" customFormat="false" ht="15" hidden="false" customHeight="false" outlineLevel="0" collapsed="false">
      <c r="A3" s="2" t="s">
        <v>150</v>
      </c>
      <c r="B3" s="7"/>
    </row>
    <row r="4" customFormat="false" ht="15" hidden="false" customHeight="false" outlineLevel="0" collapsed="false">
      <c r="A4" s="2" t="s">
        <v>151</v>
      </c>
      <c r="B4" s="8" t="s">
        <v>152</v>
      </c>
    </row>
    <row r="5" customFormat="false" ht="15" hidden="false" customHeight="false" outlineLevel="0" collapsed="false">
      <c r="A5" s="2" t="s">
        <v>153</v>
      </c>
      <c r="B5" s="9" t="n">
        <f aca="false">B3*B4</f>
        <v>0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6" t="s">
        <v>154</v>
      </c>
      <c r="B7" s="6"/>
    </row>
    <row r="8" customFormat="false" ht="15" hidden="false" customHeight="false" outlineLevel="0" collapsed="false">
      <c r="A8" s="2" t="s">
        <v>155</v>
      </c>
      <c r="B8" s="2" t="n">
        <f aca="false">COUNTA(Contacts!A2:A200)</f>
        <v>39</v>
      </c>
    </row>
    <row r="9" customFormat="false" ht="15" hidden="false" customHeight="false" outlineLevel="0" collapsed="false">
      <c r="A9" s="2" t="s">
        <v>156</v>
      </c>
      <c r="B9" s="9" t="n">
        <v>2.5</v>
      </c>
    </row>
    <row r="10" customFormat="false" ht="15" hidden="false" customHeight="false" outlineLevel="0" collapsed="false">
      <c r="A10" s="2" t="s">
        <v>157</v>
      </c>
      <c r="B10" s="9" t="n">
        <v>1.5</v>
      </c>
    </row>
    <row r="11" customFormat="false" ht="15" hidden="false" customHeight="false" outlineLevel="0" collapsed="false">
      <c r="A11" s="2" t="s">
        <v>158</v>
      </c>
      <c r="B11" s="10"/>
    </row>
    <row r="12" customFormat="false" ht="15" hidden="false" customHeight="false" outlineLevel="0" collapsed="false">
      <c r="A12" s="2" t="s">
        <v>159</v>
      </c>
      <c r="B12" s="10"/>
    </row>
    <row r="13" customFormat="false" ht="15" hidden="false" customHeight="false" outlineLevel="0" collapsed="false">
      <c r="A13" s="2" t="s">
        <v>160</v>
      </c>
      <c r="B13" s="9" t="n">
        <v>0.73</v>
      </c>
    </row>
    <row r="14" customFormat="false" ht="15" hidden="false" customHeight="false" outlineLevel="0" collapsed="false">
      <c r="A14" s="2" t="s">
        <v>161</v>
      </c>
      <c r="B14" s="9" t="n">
        <v>15</v>
      </c>
    </row>
    <row r="15" customFormat="false" ht="15" hidden="false" customHeight="false" outlineLevel="0" collapsed="false">
      <c r="A15" s="2" t="s">
        <v>162</v>
      </c>
      <c r="B15" s="9" t="n">
        <f aca="false">B11*B9+B12*B10+(B8*B13)+B14</f>
        <v>43.47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6" t="s">
        <v>163</v>
      </c>
      <c r="B17" s="6"/>
    </row>
    <row r="18" customFormat="false" ht="15" hidden="false" customHeight="false" outlineLevel="0" collapsed="false">
      <c r="A18" s="2" t="s">
        <v>164</v>
      </c>
      <c r="B18" s="2" t="n">
        <f aca="false">COUNTIF(Contacts!AB:AB,"A ($100+)")</f>
        <v>0</v>
      </c>
    </row>
    <row r="19" customFormat="false" ht="15" hidden="false" customHeight="false" outlineLevel="0" collapsed="false">
      <c r="A19" s="2" t="s">
        <v>165</v>
      </c>
      <c r="B19" s="9" t="n">
        <v>100</v>
      </c>
    </row>
    <row r="20" customFormat="false" ht="15" hidden="false" customHeight="false" outlineLevel="0" collapsed="false">
      <c r="A20" s="2" t="s">
        <v>166</v>
      </c>
      <c r="B20" s="9" t="n">
        <f aca="false">B18*B19</f>
        <v>0</v>
      </c>
    </row>
    <row r="21" customFormat="false" ht="15" hidden="false" customHeight="false" outlineLevel="0" collapsed="false">
      <c r="A21" s="2" t="s">
        <v>167</v>
      </c>
      <c r="B21" s="2" t="n">
        <f aca="false">COUNTIF(Contacts!AB:AB,"B ($50-100)")</f>
        <v>0</v>
      </c>
    </row>
    <row r="22" customFormat="false" ht="15" hidden="false" customHeight="false" outlineLevel="0" collapsed="false">
      <c r="A22" s="2" t="s">
        <v>168</v>
      </c>
      <c r="B22" s="9" t="n">
        <v>75</v>
      </c>
    </row>
    <row r="23" customFormat="false" ht="15" hidden="false" customHeight="false" outlineLevel="0" collapsed="false">
      <c r="A23" s="2" t="s">
        <v>169</v>
      </c>
      <c r="B23" s="9" t="n">
        <f aca="false">B21*B22</f>
        <v>0</v>
      </c>
    </row>
    <row r="24" customFormat="false" ht="15" hidden="false" customHeight="false" outlineLevel="0" collapsed="false">
      <c r="A24" s="2" t="s">
        <v>170</v>
      </c>
      <c r="B24" s="2" t="n">
        <f aca="false">COUNTIF(Contacts!AB:AB,"C ($25-50)")</f>
        <v>0</v>
      </c>
    </row>
    <row r="25" customFormat="false" ht="15" hidden="false" customHeight="false" outlineLevel="0" collapsed="false">
      <c r="A25" s="2" t="s">
        <v>171</v>
      </c>
      <c r="B25" s="9" t="n">
        <v>37.5</v>
      </c>
    </row>
    <row r="26" customFormat="false" ht="15" hidden="false" customHeight="false" outlineLevel="0" collapsed="false">
      <c r="A26" s="2" t="s">
        <v>172</v>
      </c>
      <c r="B26" s="9" t="n">
        <f aca="false">B24*B25</f>
        <v>0</v>
      </c>
    </row>
    <row r="27" customFormat="false" ht="15" hidden="false" customHeight="false" outlineLevel="0" collapsed="false">
      <c r="A27" s="2" t="s">
        <v>173</v>
      </c>
      <c r="B27" s="2" t="n">
        <f aca="false">COUNTIF(Contacts!AB:AB,"D (&lt;$25)")</f>
        <v>0</v>
      </c>
    </row>
    <row r="28" customFormat="false" ht="15" hidden="false" customHeight="false" outlineLevel="0" collapsed="false">
      <c r="A28" s="2" t="s">
        <v>174</v>
      </c>
      <c r="B28" s="9" t="n">
        <v>20</v>
      </c>
    </row>
    <row r="29" customFormat="false" ht="15" hidden="false" customHeight="false" outlineLevel="0" collapsed="false">
      <c r="A29" s="2" t="s">
        <v>175</v>
      </c>
      <c r="B29" s="9" t="n">
        <f aca="false">B27*B28</f>
        <v>0</v>
      </c>
    </row>
    <row r="30" customFormat="false" ht="15" hidden="false" customHeight="false" outlineLevel="0" collapsed="false">
      <c r="A30" s="2" t="s">
        <v>176</v>
      </c>
      <c r="B30" s="9" t="n">
        <f aca="false">B20+B23+B26+B29</f>
        <v>0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6" t="s">
        <v>177</v>
      </c>
      <c r="B32" s="6"/>
    </row>
    <row r="33" customFormat="false" ht="15" hidden="false" customHeight="false" outlineLevel="0" collapsed="false">
      <c r="A33" s="2" t="s">
        <v>178</v>
      </c>
      <c r="B33" s="11"/>
    </row>
    <row r="34" customFormat="false" ht="15" hidden="false" customHeight="false" outlineLevel="0" collapsed="false">
      <c r="A34" s="2" t="s">
        <v>179</v>
      </c>
      <c r="B34" s="11"/>
    </row>
    <row r="35" customFormat="false" ht="15" hidden="false" customHeight="false" outlineLevel="0" collapsed="false">
      <c r="A35" s="2" t="s">
        <v>180</v>
      </c>
      <c r="B35" s="11"/>
    </row>
    <row r="36" customFormat="false" ht="15" hidden="false" customHeight="false" outlineLevel="0" collapsed="false">
      <c r="A36" s="2" t="s">
        <v>181</v>
      </c>
      <c r="B36" s="9" t="n">
        <f aca="false">SUM(B33:B35)</f>
        <v>0</v>
      </c>
    </row>
    <row r="37" customFormat="false" ht="15" hidden="false" customHeight="false" outlineLevel="0" collapsed="false">
      <c r="A37" s="2"/>
    </row>
    <row r="38" customFormat="false" ht="15" hidden="false" customHeight="false" outlineLevel="0" collapsed="false">
      <c r="A38" s="6" t="s">
        <v>182</v>
      </c>
      <c r="B38" s="6"/>
    </row>
    <row r="39" customFormat="false" ht="15" hidden="false" customHeight="false" outlineLevel="0" collapsed="false">
      <c r="A39" s="2" t="s">
        <v>183</v>
      </c>
      <c r="B39" s="9" t="n">
        <f aca="false">B15+B30+B36</f>
        <v>43.47</v>
      </c>
    </row>
    <row r="40" customFormat="false" ht="15" hidden="false" customHeight="false" outlineLevel="0" collapsed="false">
      <c r="A40" s="2" t="s">
        <v>184</v>
      </c>
      <c r="B40" s="12" t="n">
        <f aca="false">B5-B38</f>
        <v>0</v>
      </c>
    </row>
    <row r="41" customFormat="false" ht="15" hidden="false" customHeight="false" outlineLevel="0" collapsed="false">
      <c r="A41" s="2" t="s">
        <v>185</v>
      </c>
      <c r="B41" s="2" t="n">
        <f aca="false">IF(B5&gt;0,B38/B5,0)</f>
        <v>0</v>
      </c>
    </row>
  </sheetData>
  <mergeCells count="5">
    <mergeCell ref="A2:B2"/>
    <mergeCell ref="A7:B7"/>
    <mergeCell ref="A17:B17"/>
    <mergeCell ref="A32:B32"/>
    <mergeCell ref="A38:B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3" t="s">
        <v>186</v>
      </c>
      <c r="B1" s="13" t="s">
        <v>187</v>
      </c>
      <c r="C1" s="13" t="s">
        <v>188</v>
      </c>
      <c r="D1" s="13" t="s">
        <v>189</v>
      </c>
      <c r="E1" s="13" t="s">
        <v>190</v>
      </c>
      <c r="F1" s="13" t="s">
        <v>191</v>
      </c>
      <c r="G1" s="13" t="s">
        <v>192</v>
      </c>
      <c r="H1" s="13" t="s">
        <v>193</v>
      </c>
      <c r="I1" s="13" t="s">
        <v>36</v>
      </c>
    </row>
    <row r="2" customFormat="false" ht="15" hidden="false" customHeight="false" outlineLevel="0" collapsed="false">
      <c r="A2" s="2" t="s">
        <v>194</v>
      </c>
      <c r="B2" s="2" t="s">
        <v>195</v>
      </c>
      <c r="C2" s="10"/>
      <c r="D2" s="2" t="n">
        <v>50</v>
      </c>
      <c r="E2" s="9" t="n">
        <v>25</v>
      </c>
      <c r="F2" s="9" t="n">
        <f aca="false">C2*E2</f>
        <v>0</v>
      </c>
      <c r="G2" s="2" t="s">
        <v>196</v>
      </c>
      <c r="H2" s="2"/>
      <c r="I2" s="2" t="s">
        <v>197</v>
      </c>
    </row>
    <row r="3" customFormat="false" ht="15" hidden="false" customHeight="false" outlineLevel="0" collapsed="false">
      <c r="A3" s="2" t="s">
        <v>198</v>
      </c>
      <c r="B3" s="2" t="s">
        <v>195</v>
      </c>
      <c r="C3" s="10"/>
      <c r="D3" s="2" t="n">
        <v>40</v>
      </c>
      <c r="E3" s="9" t="n">
        <v>15</v>
      </c>
      <c r="F3" s="9" t="n">
        <f aca="false">C3*E3</f>
        <v>0</v>
      </c>
      <c r="G3" s="2" t="s">
        <v>199</v>
      </c>
      <c r="H3" s="2"/>
      <c r="I3" s="2"/>
    </row>
    <row r="4" customFormat="false" ht="15" hidden="false" customHeight="false" outlineLevel="0" collapsed="false">
      <c r="A4" s="2" t="s">
        <v>200</v>
      </c>
      <c r="B4" s="2" t="s">
        <v>201</v>
      </c>
      <c r="C4" s="10"/>
      <c r="D4" s="2" t="n">
        <v>60</v>
      </c>
      <c r="E4" s="9" t="n">
        <v>14.6</v>
      </c>
      <c r="F4" s="9" t="n">
        <f aca="false">C4*E4</f>
        <v>0</v>
      </c>
      <c r="G4" s="2" t="s">
        <v>202</v>
      </c>
      <c r="H4" s="2"/>
      <c r="I4" s="2" t="s">
        <v>203</v>
      </c>
    </row>
    <row r="5" customFormat="false" ht="15" hidden="false" customHeight="false" outlineLevel="0" collapsed="false">
      <c r="A5" s="2" t="s">
        <v>161</v>
      </c>
      <c r="B5" s="2" t="s">
        <v>204</v>
      </c>
      <c r="C5" s="10"/>
      <c r="D5" s="2" t="n">
        <v>2</v>
      </c>
      <c r="E5" s="9" t="n">
        <v>15</v>
      </c>
      <c r="F5" s="9" t="n">
        <f aca="false">C5*E5</f>
        <v>0</v>
      </c>
      <c r="G5" s="2" t="s">
        <v>205</v>
      </c>
      <c r="H5" s="2"/>
      <c r="I5" s="2" t="s">
        <v>206</v>
      </c>
    </row>
    <row r="6" customFormat="false" ht="15" hidden="false" customHeight="false" outlineLevel="0" collapsed="false">
      <c r="A6" s="2" t="s">
        <v>207</v>
      </c>
      <c r="B6" s="2" t="s">
        <v>204</v>
      </c>
      <c r="C6" s="10"/>
      <c r="D6" s="2" t="n">
        <v>2</v>
      </c>
      <c r="E6" s="9" t="n">
        <v>25</v>
      </c>
      <c r="F6" s="9" t="n">
        <f aca="false">C6*E6</f>
        <v>0</v>
      </c>
      <c r="G6" s="2" t="s">
        <v>205</v>
      </c>
      <c r="H6" s="2"/>
      <c r="I6" s="2" t="s">
        <v>208</v>
      </c>
    </row>
    <row r="7" customFormat="false" ht="15" hidden="false" customHeight="false" outlineLevel="0" collapsed="false">
      <c r="A7" s="2" t="s">
        <v>209</v>
      </c>
      <c r="B7" s="2" t="s">
        <v>210</v>
      </c>
      <c r="C7" s="10"/>
      <c r="D7" s="2" t="n">
        <v>5</v>
      </c>
      <c r="E7" s="9" t="n">
        <v>8</v>
      </c>
      <c r="F7" s="9" t="n">
        <f aca="false">C7*E7</f>
        <v>0</v>
      </c>
      <c r="G7" s="2" t="s">
        <v>199</v>
      </c>
      <c r="H7" s="2"/>
      <c r="I7" s="2"/>
    </row>
    <row r="8" customFormat="false" ht="15" hidden="false" customHeight="false" outlineLevel="0" collapsed="false">
      <c r="A8" s="2" t="s">
        <v>211</v>
      </c>
      <c r="B8" s="2" t="s">
        <v>210</v>
      </c>
      <c r="C8" s="10"/>
      <c r="D8" s="2" t="n">
        <v>10</v>
      </c>
      <c r="E8" s="9" t="n">
        <v>1.5</v>
      </c>
      <c r="F8" s="9" t="n">
        <f aca="false">C8*E8</f>
        <v>0</v>
      </c>
      <c r="G8" s="2" t="s">
        <v>212</v>
      </c>
      <c r="H8" s="2"/>
      <c r="I8" s="2"/>
    </row>
    <row r="9" customFormat="false" ht="15" hidden="false" customHeight="false" outlineLevel="0" collapsed="false">
      <c r="A9" s="2" t="s">
        <v>213</v>
      </c>
      <c r="B9" s="2" t="s">
        <v>210</v>
      </c>
      <c r="C9" s="10"/>
      <c r="D9" s="2" t="n">
        <v>10</v>
      </c>
      <c r="E9" s="9" t="n">
        <v>2</v>
      </c>
      <c r="F9" s="9" t="n">
        <f aca="false">C9*E9</f>
        <v>0</v>
      </c>
      <c r="G9" s="2" t="s">
        <v>212</v>
      </c>
      <c r="H9" s="2"/>
      <c r="I9" s="2"/>
    </row>
    <row r="10" customFormat="false" ht="15" hidden="false" customHeight="false" outlineLevel="0" collapsed="false">
      <c r="A10" s="2" t="s">
        <v>214</v>
      </c>
      <c r="B10" s="2" t="s">
        <v>210</v>
      </c>
      <c r="C10" s="10"/>
      <c r="D10" s="2" t="n">
        <v>5</v>
      </c>
      <c r="E10" s="9" t="n">
        <v>3</v>
      </c>
      <c r="F10" s="9" t="n">
        <f aca="false">C10*E10</f>
        <v>0</v>
      </c>
      <c r="G10" s="2" t="s">
        <v>212</v>
      </c>
      <c r="H10" s="2"/>
      <c r="I10" s="2"/>
    </row>
    <row r="11" customFormat="false" ht="15" hidden="false" customHeight="false" outlineLevel="0" collapsed="false">
      <c r="A11" s="2" t="s">
        <v>215</v>
      </c>
      <c r="B11" s="2" t="s">
        <v>210</v>
      </c>
      <c r="C11" s="10"/>
      <c r="D11" s="2" t="n">
        <v>3</v>
      </c>
      <c r="E11" s="9" t="n">
        <v>3</v>
      </c>
      <c r="F11" s="9" t="n">
        <f aca="false">C11*E11</f>
        <v>0</v>
      </c>
      <c r="G11" s="2" t="s">
        <v>212</v>
      </c>
      <c r="H11" s="2"/>
      <c r="I11" s="2"/>
    </row>
    <row r="12" customFormat="false" ht="15" hidden="false" customHeight="false" outlineLevel="0" collapsed="false">
      <c r="A12" s="2" t="s">
        <v>216</v>
      </c>
      <c r="B12" s="2" t="s">
        <v>210</v>
      </c>
      <c r="C12" s="10"/>
      <c r="D12" s="2" t="n">
        <v>3</v>
      </c>
      <c r="E12" s="9" t="n">
        <v>5</v>
      </c>
      <c r="F12" s="9" t="n">
        <f aca="false">C12*E12</f>
        <v>0</v>
      </c>
      <c r="G12" s="2" t="s">
        <v>217</v>
      </c>
      <c r="H12" s="2"/>
      <c r="I12" s="2"/>
    </row>
    <row r="13" customFormat="false" ht="15" hidden="false" customHeight="false" outlineLevel="0" collapsed="false">
      <c r="A13" s="2" t="s">
        <v>218</v>
      </c>
      <c r="B13" s="2" t="s">
        <v>210</v>
      </c>
      <c r="C13" s="10"/>
      <c r="D13" s="2" t="n">
        <v>100</v>
      </c>
      <c r="E13" s="9" t="n">
        <v>5</v>
      </c>
      <c r="F13" s="9" t="n">
        <f aca="false">C13*E13</f>
        <v>0</v>
      </c>
      <c r="G13" s="2" t="s">
        <v>219</v>
      </c>
      <c r="H13" s="2"/>
      <c r="I13" s="2"/>
    </row>
    <row r="14" customFormat="false" ht="15" hidden="false" customHeight="false" outlineLevel="0" collapsed="false">
      <c r="A14" s="2" t="s">
        <v>220</v>
      </c>
      <c r="B14" s="2" t="s">
        <v>195</v>
      </c>
      <c r="C14" s="10"/>
      <c r="D14" s="2" t="n">
        <v>20</v>
      </c>
      <c r="E14" s="9" t="n">
        <v>12</v>
      </c>
      <c r="F14" s="9" t="n">
        <f aca="false">C14*E14</f>
        <v>0</v>
      </c>
      <c r="G14" s="2" t="s">
        <v>199</v>
      </c>
      <c r="H14" s="2"/>
      <c r="I14" s="2" t="s">
        <v>221</v>
      </c>
    </row>
    <row r="15" customFormat="false" ht="15" hidden="false" customHeight="false" outlineLevel="0" collapsed="false">
      <c r="A15" s="2" t="s">
        <v>222</v>
      </c>
      <c r="B15" s="2" t="s">
        <v>195</v>
      </c>
      <c r="C15" s="10"/>
      <c r="D15" s="2" t="n">
        <v>50</v>
      </c>
      <c r="E15" s="9" t="n">
        <v>10</v>
      </c>
      <c r="F15" s="9" t="n">
        <f aca="false">C15*E15</f>
        <v>0</v>
      </c>
      <c r="G15" s="2" t="s">
        <v>219</v>
      </c>
      <c r="H15" s="2"/>
      <c r="I15" s="2" t="s">
        <v>223</v>
      </c>
    </row>
    <row r="17" customFormat="false" ht="15" hidden="false" customHeight="false" outlineLevel="0" collapsed="false">
      <c r="E17" s="14" t="s">
        <v>224</v>
      </c>
      <c r="F17" s="15" t="n">
        <f aca="false">SUM(F2:F15)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3" t="s">
        <v>225</v>
      </c>
      <c r="B1" s="13" t="s">
        <v>226</v>
      </c>
      <c r="C1" s="13" t="s">
        <v>227</v>
      </c>
      <c r="D1" s="13" t="s">
        <v>228</v>
      </c>
      <c r="E1" s="13" t="s">
        <v>229</v>
      </c>
      <c r="F1" s="13" t="s">
        <v>230</v>
      </c>
      <c r="G1" s="13" t="s">
        <v>231</v>
      </c>
      <c r="H1" s="13" t="s">
        <v>232</v>
      </c>
      <c r="I1" s="13" t="s">
        <v>233</v>
      </c>
      <c r="J1" s="13" t="s">
        <v>36</v>
      </c>
    </row>
    <row r="2" customFormat="false" ht="15" hidden="false" customHeight="false" outlineLevel="0" collapsed="false">
      <c r="A2" s="2" t="n">
        <v>2024</v>
      </c>
      <c r="B2" s="10"/>
      <c r="C2" s="11"/>
      <c r="D2" s="10"/>
      <c r="E2" s="11"/>
      <c r="F2" s="10"/>
      <c r="G2" s="11"/>
      <c r="H2" s="9" t="n">
        <f aca="false">G2-E2</f>
        <v>0</v>
      </c>
      <c r="I2" s="9" t="n">
        <f aca="false">C2+E2</f>
        <v>0</v>
      </c>
      <c r="J2" s="10"/>
    </row>
    <row r="3" customFormat="false" ht="15" hidden="false" customHeight="false" outlineLevel="0" collapsed="false">
      <c r="A3" s="2" t="n">
        <v>2025</v>
      </c>
      <c r="B3" s="10"/>
      <c r="C3" s="11"/>
      <c r="D3" s="10"/>
      <c r="E3" s="11"/>
      <c r="F3" s="10"/>
      <c r="G3" s="11"/>
      <c r="H3" s="9" t="n">
        <f aca="false">G3-E3</f>
        <v>0</v>
      </c>
      <c r="I3" s="9" t="n">
        <f aca="false">C3+E3</f>
        <v>0</v>
      </c>
      <c r="J3" s="10"/>
    </row>
    <row r="4" customFormat="false" ht="15" hidden="false" customHeight="false" outlineLevel="0" collapsed="false">
      <c r="A4" s="2" t="n">
        <v>2026</v>
      </c>
      <c r="B4" s="10"/>
      <c r="C4" s="11"/>
      <c r="D4" s="10"/>
      <c r="E4" s="11"/>
      <c r="F4" s="10"/>
      <c r="G4" s="11"/>
      <c r="H4" s="9" t="n">
        <f aca="false">G4-E4</f>
        <v>0</v>
      </c>
      <c r="I4" s="9" t="n">
        <f aca="false">C4+E4</f>
        <v>0</v>
      </c>
      <c r="J4" s="10"/>
    </row>
    <row r="5" customFormat="false" ht="15" hidden="false" customHeight="false" outlineLevel="0" collapsed="false">
      <c r="A5" s="2" t="n">
        <v>2027</v>
      </c>
      <c r="B5" s="10"/>
      <c r="C5" s="11"/>
      <c r="D5" s="10"/>
      <c r="E5" s="11"/>
      <c r="F5" s="10"/>
      <c r="G5" s="11"/>
      <c r="H5" s="9" t="n">
        <f aca="false">G5-E5</f>
        <v>0</v>
      </c>
      <c r="I5" s="9" t="n">
        <f aca="false">C5+E5</f>
        <v>0</v>
      </c>
      <c r="J5" s="10"/>
    </row>
    <row r="6" customFormat="false" ht="15" hidden="false" customHeight="false" outlineLevel="0" collapsed="false">
      <c r="A6" s="2" t="n">
        <v>2028</v>
      </c>
      <c r="B6" s="10"/>
      <c r="C6" s="11"/>
      <c r="D6" s="10"/>
      <c r="E6" s="11"/>
      <c r="F6" s="10"/>
      <c r="G6" s="11"/>
      <c r="H6" s="9" t="n">
        <f aca="false">G6-E6</f>
        <v>0</v>
      </c>
      <c r="I6" s="9" t="n">
        <f aca="false">C6+E6</f>
        <v>0</v>
      </c>
      <c r="J6" s="10"/>
    </row>
    <row r="7" customFormat="false" ht="15" hidden="false" customHeight="false" outlineLevel="0" collapsed="false">
      <c r="A7" s="2" t="n">
        <v>2029</v>
      </c>
      <c r="B7" s="10"/>
      <c r="C7" s="11"/>
      <c r="D7" s="10"/>
      <c r="E7" s="11"/>
      <c r="F7" s="10"/>
      <c r="G7" s="11"/>
      <c r="H7" s="9" t="n">
        <f aca="false">G7-E7</f>
        <v>0</v>
      </c>
      <c r="I7" s="9" t="n">
        <f aca="false">C7+E7</f>
        <v>0</v>
      </c>
      <c r="J7" s="10"/>
    </row>
    <row r="8" customFormat="false" ht="15" hidden="false" customHeight="false" outlineLevel="0" collapsed="false">
      <c r="A8" s="2" t="n">
        <v>2030</v>
      </c>
      <c r="B8" s="10"/>
      <c r="C8" s="11"/>
      <c r="D8" s="10"/>
      <c r="E8" s="11"/>
      <c r="F8" s="10"/>
      <c r="G8" s="11"/>
      <c r="H8" s="9" t="n">
        <f aca="false">G8-E8</f>
        <v>0</v>
      </c>
      <c r="I8" s="9" t="n">
        <f aca="false">C8+E8</f>
        <v>0</v>
      </c>
      <c r="J8" s="10"/>
    </row>
    <row r="9" customFormat="false" ht="15" hidden="false" customHeight="false" outlineLevel="0" collapsed="false">
      <c r="A9" s="2" t="n">
        <v>2031</v>
      </c>
      <c r="B9" s="10"/>
      <c r="C9" s="11"/>
      <c r="D9" s="10"/>
      <c r="E9" s="11"/>
      <c r="F9" s="10"/>
      <c r="G9" s="11"/>
      <c r="H9" s="9" t="n">
        <f aca="false">G9-E9</f>
        <v>0</v>
      </c>
      <c r="I9" s="9" t="n">
        <f aca="false">C9+E9</f>
        <v>0</v>
      </c>
      <c r="J9" s="10"/>
    </row>
    <row r="10" customFormat="false" ht="15" hidden="false" customHeight="false" outlineLevel="0" collapsed="false">
      <c r="A10" s="2" t="n">
        <v>2032</v>
      </c>
      <c r="B10" s="10"/>
      <c r="C10" s="11"/>
      <c r="D10" s="10"/>
      <c r="E10" s="11"/>
      <c r="F10" s="10"/>
      <c r="G10" s="11"/>
      <c r="H10" s="9" t="n">
        <f aca="false">G10-E10</f>
        <v>0</v>
      </c>
      <c r="I10" s="9" t="n">
        <f aca="false">C10+E10</f>
        <v>0</v>
      </c>
      <c r="J10" s="10"/>
    </row>
    <row r="11" customFormat="false" ht="15" hidden="false" customHeight="false" outlineLevel="0" collapsed="false">
      <c r="A11" s="2" t="n">
        <v>2033</v>
      </c>
      <c r="B11" s="10"/>
      <c r="C11" s="11"/>
      <c r="D11" s="10"/>
      <c r="E11" s="11"/>
      <c r="F11" s="10"/>
      <c r="G11" s="11"/>
      <c r="H11" s="9" t="n">
        <f aca="false">G11-E11</f>
        <v>0</v>
      </c>
      <c r="I11" s="9" t="n">
        <f aca="false">C11+E11</f>
        <v>0</v>
      </c>
      <c r="J11" s="10"/>
    </row>
    <row r="12" customFormat="false" ht="15" hidden="false" customHeight="false" outlineLevel="0" collapsed="false">
      <c r="A12" s="2" t="n">
        <v>2034</v>
      </c>
      <c r="B12" s="10"/>
      <c r="C12" s="11"/>
      <c r="D12" s="10"/>
      <c r="E12" s="11"/>
      <c r="F12" s="10"/>
      <c r="G12" s="11"/>
      <c r="H12" s="9" t="n">
        <f aca="false">G12-E12</f>
        <v>0</v>
      </c>
      <c r="I12" s="9" t="n">
        <f aca="false">C12+E12</f>
        <v>0</v>
      </c>
      <c r="J1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0"/>
  </cols>
  <sheetData>
    <row r="1" customFormat="false" ht="19.7" hidden="false" customHeight="false" outlineLevel="0" collapsed="false">
      <c r="A1" s="16" t="s">
        <v>234</v>
      </c>
      <c r="B1" s="16"/>
      <c r="C1" s="16"/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6" t="s">
        <v>235</v>
      </c>
      <c r="B3" s="6"/>
      <c r="C3" s="6"/>
    </row>
    <row r="4" customFormat="false" ht="15" hidden="false" customHeight="false" outlineLevel="0" collapsed="false">
      <c r="A4" s="2" t="s">
        <v>236</v>
      </c>
      <c r="B4" s="17" t="n">
        <f aca="false">COUNTA(Contacts!A2:A200)</f>
        <v>39</v>
      </c>
      <c r="C4" s="2" t="s">
        <v>237</v>
      </c>
    </row>
    <row r="5" customFormat="false" ht="15" hidden="false" customHeight="false" outlineLevel="0" collapsed="false">
      <c r="A5" s="2" t="s">
        <v>238</v>
      </c>
      <c r="B5" s="17" t="n">
        <f aca="false">COUNTIF(Contacts!K:K,"Verified")</f>
        <v>10</v>
      </c>
      <c r="C5" s="2" t="s">
        <v>239</v>
      </c>
    </row>
    <row r="6" customFormat="false" ht="15" hidden="false" customHeight="false" outlineLevel="0" collapsed="false">
      <c r="A6" s="2" t="s">
        <v>240</v>
      </c>
      <c r="B6" s="17" t="n">
        <f aca="false">COUNTIF(Contacts!K:K,"Needs Lookup")</f>
        <v>23</v>
      </c>
      <c r="C6" s="18" t="s">
        <v>241</v>
      </c>
    </row>
    <row r="7" customFormat="false" ht="15" hidden="false" customHeight="false" outlineLevel="0" collapsed="false">
      <c r="A7" s="2" t="s">
        <v>242</v>
      </c>
      <c r="B7" s="17" t="n">
        <f aca="false">COUNTIF(Contacts!K:K,"Needs Confirmation")</f>
        <v>6</v>
      </c>
      <c r="C7" s="2" t="s">
        <v>243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6" t="s">
        <v>244</v>
      </c>
      <c r="B9" s="6"/>
      <c r="C9" s="6"/>
    </row>
    <row r="10" customFormat="false" ht="15" hidden="false" customHeight="false" outlineLevel="0" collapsed="false">
      <c r="A10" s="2" t="s">
        <v>44</v>
      </c>
      <c r="B10" s="17" t="n">
        <f aca="false">COUNTIF(Contacts!C:C,"Family")</f>
        <v>13</v>
      </c>
    </row>
    <row r="11" customFormat="false" ht="15" hidden="false" customHeight="false" outlineLevel="0" collapsed="false">
      <c r="A11" s="2" t="s">
        <v>245</v>
      </c>
      <c r="B11" s="17" t="n">
        <f aca="false">COUNTIF(Contacts!C:C,"Friend")</f>
        <v>25</v>
      </c>
    </row>
    <row r="12" customFormat="false" ht="15" hidden="false" customHeight="false" outlineLevel="0" collapsed="false">
      <c r="A12" s="2" t="s">
        <v>99</v>
      </c>
      <c r="B12" s="17" t="n">
        <f aca="false">COUNTIF(Contacts!C:C,"Professional")</f>
        <v>1</v>
      </c>
    </row>
    <row r="13" customFormat="false" ht="15" hidden="false" customHeight="false" outlineLevel="0" collapsed="false">
      <c r="A13" s="2" t="s">
        <v>45</v>
      </c>
      <c r="B13" s="17" t="n">
        <f aca="false">COUNTIF(Contacts!D:D,"Inner Circle")</f>
        <v>5</v>
      </c>
    </row>
    <row r="14" customFormat="false" ht="15" hidden="false" customHeight="false" outlineLevel="0" collapsed="false">
      <c r="A14" s="2" t="s">
        <v>62</v>
      </c>
      <c r="B14" s="17" t="n">
        <f aca="false">COUNTIF(Contacts!D:D,"Close")</f>
        <v>27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6" t="s">
        <v>246</v>
      </c>
      <c r="B16" s="6"/>
      <c r="C16" s="6"/>
    </row>
    <row r="17" customFormat="false" ht="15" hidden="false" customHeight="false" outlineLevel="0" collapsed="false">
      <c r="A17" s="2" t="s">
        <v>226</v>
      </c>
      <c r="B17" s="17" t="n">
        <f aca="false">COUNTIF(Contacts!X:X,TRUE())+COUNTIF(Contacts!X:X,"Yes")+COUNTIF(Contacts!X:X,"x")</f>
        <v>0</v>
      </c>
    </row>
    <row r="18" customFormat="false" ht="15" hidden="false" customHeight="false" outlineLevel="0" collapsed="false">
      <c r="A18" s="2" t="s">
        <v>247</v>
      </c>
      <c r="B18" s="17" t="n">
        <f aca="false">B4-B17</f>
        <v>39</v>
      </c>
    </row>
    <row r="19" customFormat="false" ht="15" hidden="false" customHeight="false" outlineLevel="0" collapsed="false">
      <c r="A19" s="2" t="s">
        <v>248</v>
      </c>
      <c r="B19" s="19" t="n">
        <f aca="false">IF(B17&gt;0,COUNTIF(Contacts!Y:Y,"Received Card")/B17,0)</f>
        <v>0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6" t="s">
        <v>249</v>
      </c>
      <c r="B21" s="6"/>
      <c r="C21" s="6"/>
    </row>
    <row r="22" customFormat="false" ht="15" hidden="false" customHeight="false" outlineLevel="0" collapsed="false">
      <c r="A22" s="2" t="s">
        <v>250</v>
      </c>
      <c r="B22" s="20" t="n">
        <f aca="false">'Annual Budget'!B5</f>
        <v>0</v>
      </c>
    </row>
    <row r="23" customFormat="false" ht="15" hidden="false" customHeight="false" outlineLevel="0" collapsed="false">
      <c r="A23" s="2" t="s">
        <v>251</v>
      </c>
      <c r="B23" s="20" t="n">
        <f aca="false">'Annual Budget'!B38</f>
        <v>0</v>
      </c>
    </row>
    <row r="24" customFormat="false" ht="15" hidden="false" customHeight="false" outlineLevel="0" collapsed="false">
      <c r="A24" s="2" t="s">
        <v>184</v>
      </c>
      <c r="B24" s="20" t="n">
        <f aca="false">'Annual Budget'!B39</f>
        <v>43.47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6" t="s">
        <v>252</v>
      </c>
      <c r="B26" s="6"/>
      <c r="C26" s="6"/>
    </row>
    <row r="27" customFormat="false" ht="15" hidden="false" customHeight="false" outlineLevel="0" collapsed="false">
      <c r="A27" s="2" t="s">
        <v>253</v>
      </c>
      <c r="B27" s="20" t="n">
        <f aca="false">Inventory!F17</f>
        <v>0</v>
      </c>
    </row>
  </sheetData>
  <mergeCells count="6">
    <mergeCell ref="A1:C1"/>
    <mergeCell ref="A3:C3"/>
    <mergeCell ref="A9:C9"/>
    <mergeCell ref="A16:C16"/>
    <mergeCell ref="A21:C21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21" t="s">
        <v>0</v>
      </c>
      <c r="B1" s="21" t="s">
        <v>1</v>
      </c>
      <c r="C1" s="21" t="s">
        <v>2</v>
      </c>
      <c r="D1" s="21" t="s">
        <v>254</v>
      </c>
      <c r="E1" s="21" t="s">
        <v>255</v>
      </c>
      <c r="F1" s="21" t="s">
        <v>36</v>
      </c>
    </row>
    <row r="2" customFormat="false" ht="15" hidden="false" customHeight="false" outlineLevel="0" collapsed="false">
      <c r="A2" s="22" t="s">
        <v>256</v>
      </c>
      <c r="B2" s="22"/>
      <c r="C2" s="22"/>
      <c r="D2" s="22"/>
      <c r="E2" s="22"/>
      <c r="F2" s="22"/>
    </row>
  </sheetData>
  <mergeCells count="1"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2025-12-19T05:11:04Z</dcterms:created>
  <dc:creator>openpyxl</dc:creator>
  <dc:description/>
  <dc:language>en-US</dc:language>
  <cp:lastModifiedBy/>
  <dcterms:modified xsi:type="dcterms:W3CDTF">2025-12-19T05:11:04Z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